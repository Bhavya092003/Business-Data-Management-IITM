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" sheetId="1" r:id="rId4"/>
  </sheets>
  <definedNames/>
  <calcPr/>
</workbook>
</file>

<file path=xl/sharedStrings.xml><?xml version="1.0" encoding="utf-8"?>
<sst xmlns="http://schemas.openxmlformats.org/spreadsheetml/2006/main" count="49" uniqueCount="48">
  <si>
    <t>Item</t>
  </si>
  <si>
    <t>Units</t>
  </si>
  <si>
    <t>Price (per unit)</t>
  </si>
  <si>
    <t>Overall Cost</t>
  </si>
  <si>
    <t>DOMS FSC 12 Shades Round Shaped Color Pencils</t>
  </si>
  <si>
    <t>PIERRE CARDIN Estella Ball Pen</t>
  </si>
  <si>
    <t>Reynolds FASTLINE Ball Pen</t>
  </si>
  <si>
    <t>Reynolds Lumino Gel Gel Pen</t>
  </si>
  <si>
    <t>APSARA Disney-Marvel(Avengers, Disney Princess, Mickey Mouse) Rotating Dispenser of Pencil</t>
  </si>
  <si>
    <t>FLAIR Woody 0.7 mm Stand | Attractive Woody Design | Smooth Ink Flow System Ball Pen</t>
  </si>
  <si>
    <t>CASIO MJ-12VCB-WE Desktop Basic Calculator</t>
  </si>
  <si>
    <t>CASIO MC-12M Basic Calculator</t>
  </si>
  <si>
    <t>CASIO MJ-120D Desktop Basic Calculator</t>
  </si>
  <si>
    <t>HAUSER Aerox 0.6 mm Ball Pen| Shiny Finish &amp; Low-Viscosity Ink | Refillable Ball Pen</t>
  </si>
  <si>
    <t>Classmate Octane Gel Pen</t>
  </si>
  <si>
    <t>HAUSER XO 0.6 mm | Sleek Body &amp; Minimalistic Design | Smooth Writing Ball Pen</t>
  </si>
  <si>
    <t>Reynolds HD Blue Permanent Marker</t>
  </si>
  <si>
    <t>Reynolds HD Blue Whiteboard Marker</t>
  </si>
  <si>
    <t>Cello Butterflow Simply Ball Pen</t>
  </si>
  <si>
    <t>Classmate 04010030AA Geometry Box</t>
  </si>
  <si>
    <t>PARKER Classic Stainless Steel Gold Ball Pen</t>
  </si>
  <si>
    <t>LUXOR Executive Regular Notebook Single Rule 300 Pages</t>
  </si>
  <si>
    <t>LUXOR Premium Exercise Regular Notebook Ruled 300 Pages</t>
  </si>
  <si>
    <t>Reynolds Aeroslim Ball Pen</t>
  </si>
  <si>
    <t>Reynolds VISTA RT BP Blue Pen</t>
  </si>
  <si>
    <t>Reynolds DynaGrip Roller Ball Pen</t>
  </si>
  <si>
    <t>Reynolds Trimax Pen - BLUE, BLACK, RED &amp; GREEN Gel Pen</t>
  </si>
  <si>
    <t>Reynolds Brite BP Pen Ball Pen</t>
  </si>
  <si>
    <t>Reynolds JIFFY Blue Gel Pen</t>
  </si>
  <si>
    <t>Reynolds Brite Blue Pen Packet Ball Pen</t>
  </si>
  <si>
    <t>Reynolds D Fine Ball Pen</t>
  </si>
  <si>
    <t>Reynolds Feltek Roller Ball Pen</t>
  </si>
  <si>
    <t>Reynolds Trimax Pens Pouch - Blue, Black, Red &amp; Green Gel Pen</t>
  </si>
  <si>
    <t>Reynolds SmotthMate Ball Pen</t>
  </si>
  <si>
    <t>Reynolds 045 Pen Jar Ball Pen</t>
  </si>
  <si>
    <t>Reynolds JIFFY Gel Pen</t>
  </si>
  <si>
    <t>FLAIR Silkina Jar of Ball Pen</t>
  </si>
  <si>
    <t>Classmate Pulse 6 Subject (240 X 180 mm) Spiral B5 Notebook Single Line 300 Pages</t>
  </si>
  <si>
    <t>Classmate Pulse 1 Subject (240 X 180 mm) Spiral B5 Notebook Single Line 180 Pages</t>
  </si>
  <si>
    <t>NAVNEET Youva Soft Bound Brown Note Book 18x24 cm Single Line 92 Pages Regular Note Book Single Line 92 Pages</t>
  </si>
  <si>
    <t>Classmate Pulse 1 Subject (267 X 203 mm) Spiral Regular Notebook Single Line 160 Pages</t>
  </si>
  <si>
    <t>Classmate Longbook A4 Notebook Unruled 140 Pages</t>
  </si>
  <si>
    <t>Classmate Longbook A4 Notebook Single Line 240 Pages</t>
  </si>
  <si>
    <t>CASIO FX-991MS Scientific Scientific Calculator</t>
  </si>
  <si>
    <t>HAUSER Aerox 0.6 mm Ball Pen | Shiny Finish &amp; Low-Viscosity Ink | Refillable Ball Pen</t>
  </si>
  <si>
    <t>Pilot V5 Liquid Ink Rollerball Pen</t>
  </si>
  <si>
    <t>Classmate Longbook Book-size Notebook Unruled 160 Pages</t>
  </si>
  <si>
    <t>Classmate Pulse 6 Subject (240 X 180 mm) Spiral B5 Notebook Unruled 300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</si>
</sst>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CCD9D4"/>
        <bgColor rgb="FFCCD9D4"/>
      </patternFill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C000"/>
      </right>
      <top style="thin">
        <color rgb="FFFFC000"/>
      </top>
      <bottom style="thin">
        <color rgb="FFFFC000"/>
      </bottom>
    </border>
    <border>
      <left style="thin">
        <color rgb="FF284E3F"/>
      </left>
      <right style="thin">
        <color rgb="FFCCD9D4"/>
      </right>
      <top>
        <color rgb="FF284E3F"/>
      </top>
      <bottom style="thin">
        <color rgb="FF284E3F"/>
      </bottom>
    </border>
    <border>
      <left style="thin">
        <color rgb="FFCCD9D4"/>
      </left>
      <right style="thin">
        <color rgb="FFCCD9D4"/>
      </right>
      <top>
        <color rgb="FF284E3F"/>
      </top>
      <bottom style="thin">
        <color rgb="FF284E3F"/>
      </bottom>
    </border>
    <border>
      <left style="thin">
        <color rgb="FFCCD9D4"/>
      </left>
      <right style="thin">
        <color rgb="FF284E3F"/>
      </right>
      <top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2" fontId="2" numFmtId="0" xfId="0" applyAlignment="1" applyBorder="1" applyFill="1" applyFont="1">
      <alignment readingOrder="0" shrinkToFit="0" vertical="bottom" wrapText="0"/>
    </xf>
    <xf borderId="5" fillId="0" fontId="2" numFmtId="0" xfId="0" applyAlignment="1" applyBorder="1" applyFont="1">
      <alignment horizontal="right" readingOrder="0" shrinkToFit="0" vertical="bottom" wrapText="0"/>
    </xf>
    <xf borderId="5" fillId="0" fontId="2" numFmtId="0" xfId="0" applyAlignment="1" applyBorder="1" applyFont="1">
      <alignment horizontal="right" readingOrder="0" shrinkToFit="0" vertical="bottom" wrapText="0"/>
    </xf>
    <xf borderId="6" fillId="0" fontId="2" numFmtId="0" xfId="0" applyAlignment="1" applyBorder="1" applyFont="1">
      <alignment horizontal="right" readingOrder="0" shrinkToFit="0" vertical="bottom" wrapText="0"/>
    </xf>
    <xf borderId="7" fillId="0" fontId="2" numFmtId="0" xfId="0" applyAlignment="1" applyBorder="1" applyFont="1">
      <alignment horizontal="right" readingOrder="0" shrinkToFit="0" vertical="bottom" wrapText="0"/>
    </xf>
    <xf borderId="8" fillId="0" fontId="2" numFmtId="0" xfId="0" applyAlignment="1" applyBorder="1" applyFont="1">
      <alignment horizontal="right" readingOrder="0" shrinkToFit="0" vertical="bottom" wrapText="0"/>
    </xf>
    <xf borderId="7" fillId="0" fontId="2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10" fillId="3" fontId="2" numFmtId="0" xfId="0" applyAlignment="1" applyBorder="1" applyFill="1" applyFont="1">
      <alignment readingOrder="0" shrinkToFit="0" vertical="bottom" wrapText="0"/>
    </xf>
    <xf borderId="11" fillId="4" fontId="2" numFmtId="0" xfId="0" applyAlignment="1" applyBorder="1" applyFill="1" applyFont="1">
      <alignment readingOrder="0" shrinkToFit="0" vertical="bottom" wrapText="0"/>
    </xf>
    <xf borderId="12" fillId="4" fontId="2" numFmtId="0" xfId="0" applyAlignment="1" applyBorder="1" applyFont="1">
      <alignment horizontal="right" readingOrder="0" shrinkToFit="0" vertical="bottom" wrapText="0"/>
    </xf>
    <xf borderId="13" fillId="4" fontId="2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</dxfs>
  <tableStyles count="1">
    <tableStyle count="4" pivot="0" name="Purchase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D47" displayName="Table2" name="Table2" id="1">
  <tableColumns count="4">
    <tableColumn name="Item" id="1"/>
    <tableColumn name="Units" id="2"/>
    <tableColumn name="Price (per unit)" id="3"/>
    <tableColumn totalsRowFunction="custom" name="Overall Cost" id="4"/>
  </tableColumns>
  <tableStyleInfo name="Purcha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75"/>
    <col customWidth="1" min="2" max="2" width="14.75"/>
    <col customWidth="1" min="3" max="3" width="22.75"/>
    <col customWidth="1" min="4" max="4" width="20.75"/>
    <col customWidth="1" min="5" max="5" width="17.25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>
        <v>10.0</v>
      </c>
      <c r="C2" s="6">
        <v>60.0</v>
      </c>
      <c r="D2" s="7">
        <f t="shared" ref="D2:D46" si="1">B2*C2</f>
        <v>600</v>
      </c>
    </row>
    <row r="3">
      <c r="A3" s="4" t="s">
        <v>5</v>
      </c>
      <c r="B3" s="8">
        <v>20.0</v>
      </c>
      <c r="C3" s="8">
        <v>80.0</v>
      </c>
      <c r="D3" s="9">
        <f t="shared" si="1"/>
        <v>1600</v>
      </c>
    </row>
    <row r="4">
      <c r="A4" s="4" t="s">
        <v>6</v>
      </c>
      <c r="B4" s="5">
        <v>250.0</v>
      </c>
      <c r="C4" s="5">
        <v>3.0</v>
      </c>
      <c r="D4" s="7">
        <f t="shared" si="1"/>
        <v>750</v>
      </c>
    </row>
    <row r="5">
      <c r="A5" s="4" t="s">
        <v>7</v>
      </c>
      <c r="B5" s="8">
        <v>200.0</v>
      </c>
      <c r="C5" s="8">
        <v>7.0</v>
      </c>
      <c r="D5" s="9">
        <f t="shared" si="1"/>
        <v>1400</v>
      </c>
    </row>
    <row r="6">
      <c r="A6" s="4" t="s">
        <v>8</v>
      </c>
      <c r="B6" s="5">
        <v>4.0</v>
      </c>
      <c r="C6" s="5">
        <v>480.0</v>
      </c>
      <c r="D6" s="7">
        <f t="shared" si="1"/>
        <v>1920</v>
      </c>
    </row>
    <row r="7">
      <c r="A7" s="4" t="s">
        <v>9</v>
      </c>
      <c r="B7" s="8">
        <v>200.0</v>
      </c>
      <c r="C7" s="8">
        <v>5.0</v>
      </c>
      <c r="D7" s="9">
        <f t="shared" si="1"/>
        <v>1000</v>
      </c>
    </row>
    <row r="8">
      <c r="A8" s="4" t="s">
        <v>10</v>
      </c>
      <c r="B8" s="5">
        <v>10.0</v>
      </c>
      <c r="C8" s="6">
        <v>555.0</v>
      </c>
      <c r="D8" s="7">
        <f t="shared" si="1"/>
        <v>5550</v>
      </c>
    </row>
    <row r="9">
      <c r="A9" s="4" t="s">
        <v>11</v>
      </c>
      <c r="B9" s="8">
        <v>10.0</v>
      </c>
      <c r="C9" s="10">
        <v>595.0</v>
      </c>
      <c r="D9" s="9">
        <f t="shared" si="1"/>
        <v>5950</v>
      </c>
    </row>
    <row r="10">
      <c r="A10" s="4" t="s">
        <v>12</v>
      </c>
      <c r="B10" s="5">
        <v>10.0</v>
      </c>
      <c r="C10" s="6">
        <v>555.0</v>
      </c>
      <c r="D10" s="7">
        <f t="shared" si="1"/>
        <v>5550</v>
      </c>
    </row>
    <row r="11">
      <c r="A11" s="4" t="s">
        <v>13</v>
      </c>
      <c r="B11" s="8">
        <v>500.0</v>
      </c>
      <c r="C11" s="8">
        <v>5.0</v>
      </c>
      <c r="D11" s="9">
        <f t="shared" si="1"/>
        <v>2500</v>
      </c>
    </row>
    <row r="12">
      <c r="A12" s="4" t="s">
        <v>14</v>
      </c>
      <c r="B12" s="5">
        <v>550.0</v>
      </c>
      <c r="C12" s="5">
        <v>5.0</v>
      </c>
      <c r="D12" s="7">
        <f t="shared" si="1"/>
        <v>2750</v>
      </c>
    </row>
    <row r="13">
      <c r="A13" s="4" t="s">
        <v>15</v>
      </c>
      <c r="B13" s="8">
        <v>300.0</v>
      </c>
      <c r="C13" s="8">
        <v>5.0</v>
      </c>
      <c r="D13" s="9">
        <f t="shared" si="1"/>
        <v>1500</v>
      </c>
    </row>
    <row r="14">
      <c r="A14" s="4" t="s">
        <v>16</v>
      </c>
      <c r="B14" s="5">
        <v>50.0</v>
      </c>
      <c r="C14" s="5">
        <v>25.0</v>
      </c>
      <c r="D14" s="7">
        <f t="shared" si="1"/>
        <v>1250</v>
      </c>
    </row>
    <row r="15">
      <c r="A15" s="4" t="s">
        <v>17</v>
      </c>
      <c r="B15" s="8">
        <v>100.0</v>
      </c>
      <c r="C15" s="8">
        <v>20.0</v>
      </c>
      <c r="D15" s="9">
        <f t="shared" si="1"/>
        <v>2000</v>
      </c>
    </row>
    <row r="16">
      <c r="A16" s="4" t="s">
        <v>18</v>
      </c>
      <c r="B16" s="5">
        <v>300.0</v>
      </c>
      <c r="C16" s="5">
        <v>5.0</v>
      </c>
      <c r="D16" s="7">
        <f t="shared" si="1"/>
        <v>1500</v>
      </c>
    </row>
    <row r="17">
      <c r="A17" s="4" t="s">
        <v>19</v>
      </c>
      <c r="B17" s="8">
        <v>50.0</v>
      </c>
      <c r="C17" s="8">
        <v>60.0</v>
      </c>
      <c r="D17" s="9">
        <f t="shared" si="1"/>
        <v>3000</v>
      </c>
    </row>
    <row r="18">
      <c r="A18" s="4" t="s">
        <v>20</v>
      </c>
      <c r="B18" s="5">
        <v>25.0</v>
      </c>
      <c r="C18" s="5">
        <v>110.0</v>
      </c>
      <c r="D18" s="7">
        <f t="shared" si="1"/>
        <v>2750</v>
      </c>
    </row>
    <row r="19">
      <c r="A19" s="4" t="s">
        <v>21</v>
      </c>
      <c r="B19" s="8">
        <v>60.0</v>
      </c>
      <c r="C19" s="8">
        <v>40.0</v>
      </c>
      <c r="D19" s="9">
        <f t="shared" si="1"/>
        <v>2400</v>
      </c>
    </row>
    <row r="20">
      <c r="A20" s="4" t="s">
        <v>22</v>
      </c>
      <c r="B20" s="5">
        <v>60.0</v>
      </c>
      <c r="C20" s="5">
        <v>50.0</v>
      </c>
      <c r="D20" s="7">
        <f t="shared" si="1"/>
        <v>3000</v>
      </c>
    </row>
    <row r="21">
      <c r="A21" s="4" t="s">
        <v>23</v>
      </c>
      <c r="B21" s="8">
        <v>200.0</v>
      </c>
      <c r="C21" s="8">
        <v>7.0</v>
      </c>
      <c r="D21" s="9">
        <f t="shared" si="1"/>
        <v>1400</v>
      </c>
    </row>
    <row r="22">
      <c r="A22" s="4" t="s">
        <v>24</v>
      </c>
      <c r="B22" s="5">
        <v>500.0</v>
      </c>
      <c r="C22" s="5">
        <v>15.0</v>
      </c>
      <c r="D22" s="7">
        <f t="shared" si="1"/>
        <v>7500</v>
      </c>
    </row>
    <row r="23">
      <c r="A23" s="4" t="s">
        <v>25</v>
      </c>
      <c r="B23" s="8">
        <v>200.0</v>
      </c>
      <c r="C23" s="8">
        <v>15.0</v>
      </c>
      <c r="D23" s="9">
        <f t="shared" si="1"/>
        <v>3000</v>
      </c>
    </row>
    <row r="24">
      <c r="A24" s="4" t="s">
        <v>26</v>
      </c>
      <c r="B24" s="5">
        <v>200.0</v>
      </c>
      <c r="C24" s="5">
        <v>40.0</v>
      </c>
      <c r="D24" s="7">
        <f t="shared" si="1"/>
        <v>8000</v>
      </c>
    </row>
    <row r="25">
      <c r="A25" s="4" t="s">
        <v>27</v>
      </c>
      <c r="B25" s="8">
        <v>300.0</v>
      </c>
      <c r="C25" s="8">
        <v>2.0</v>
      </c>
      <c r="D25" s="9">
        <f t="shared" si="1"/>
        <v>600</v>
      </c>
    </row>
    <row r="26">
      <c r="A26" s="4" t="s">
        <v>28</v>
      </c>
      <c r="B26" s="5">
        <v>200.0</v>
      </c>
      <c r="C26" s="5">
        <v>5.0</v>
      </c>
      <c r="D26" s="7">
        <f t="shared" si="1"/>
        <v>1000</v>
      </c>
    </row>
    <row r="27">
      <c r="A27" s="4" t="s">
        <v>29</v>
      </c>
      <c r="B27" s="8">
        <v>100.0</v>
      </c>
      <c r="C27" s="8">
        <v>29.0</v>
      </c>
      <c r="D27" s="9">
        <f t="shared" si="1"/>
        <v>2900</v>
      </c>
    </row>
    <row r="28">
      <c r="A28" s="4" t="s">
        <v>30</v>
      </c>
      <c r="B28" s="5">
        <v>200.0</v>
      </c>
      <c r="C28" s="5">
        <v>20.0</v>
      </c>
      <c r="D28" s="7">
        <f t="shared" si="1"/>
        <v>4000</v>
      </c>
    </row>
    <row r="29">
      <c r="A29" s="4" t="s">
        <v>31</v>
      </c>
      <c r="B29" s="8">
        <v>150.0</v>
      </c>
      <c r="C29" s="8">
        <v>25.0</v>
      </c>
      <c r="D29" s="9">
        <f t="shared" si="1"/>
        <v>3750</v>
      </c>
    </row>
    <row r="30">
      <c r="A30" s="4" t="s">
        <v>32</v>
      </c>
      <c r="B30" s="5">
        <v>50.0</v>
      </c>
      <c r="C30" s="5">
        <v>109.0</v>
      </c>
      <c r="D30" s="7">
        <f t="shared" si="1"/>
        <v>5450</v>
      </c>
    </row>
    <row r="31">
      <c r="A31" s="4" t="s">
        <v>33</v>
      </c>
      <c r="B31" s="8">
        <v>100.0</v>
      </c>
      <c r="C31" s="8">
        <v>28.0</v>
      </c>
      <c r="D31" s="9">
        <f t="shared" si="1"/>
        <v>2800</v>
      </c>
    </row>
    <row r="32">
      <c r="A32" s="4" t="s">
        <v>34</v>
      </c>
      <c r="B32" s="5">
        <v>10.0</v>
      </c>
      <c r="C32" s="5">
        <v>37.0</v>
      </c>
      <c r="D32" s="7">
        <f t="shared" si="1"/>
        <v>370</v>
      </c>
    </row>
    <row r="33">
      <c r="A33" s="4" t="s">
        <v>35</v>
      </c>
      <c r="B33" s="8">
        <v>200.0</v>
      </c>
      <c r="C33" s="8">
        <v>3.0</v>
      </c>
      <c r="D33" s="9">
        <f t="shared" si="1"/>
        <v>600</v>
      </c>
    </row>
    <row r="34">
      <c r="A34" s="4" t="s">
        <v>36</v>
      </c>
      <c r="B34" s="5">
        <v>10.0</v>
      </c>
      <c r="C34" s="5">
        <v>75.0</v>
      </c>
      <c r="D34" s="7">
        <f t="shared" si="1"/>
        <v>750</v>
      </c>
    </row>
    <row r="35">
      <c r="A35" s="4" t="s">
        <v>18</v>
      </c>
      <c r="B35" s="8">
        <v>350.0</v>
      </c>
      <c r="C35" s="8">
        <v>4.0</v>
      </c>
      <c r="D35" s="9">
        <f t="shared" si="1"/>
        <v>1400</v>
      </c>
    </row>
    <row r="36">
      <c r="A36" s="11" t="s">
        <v>37</v>
      </c>
      <c r="B36" s="5">
        <v>80.0</v>
      </c>
      <c r="C36" s="5">
        <v>38.0</v>
      </c>
      <c r="D36" s="7">
        <f t="shared" si="1"/>
        <v>3040</v>
      </c>
    </row>
    <row r="37">
      <c r="A37" s="12" t="s">
        <v>38</v>
      </c>
      <c r="B37" s="8">
        <v>70.0</v>
      </c>
      <c r="C37" s="8">
        <v>30.0</v>
      </c>
      <c r="D37" s="9">
        <f t="shared" si="1"/>
        <v>2100</v>
      </c>
    </row>
    <row r="38">
      <c r="A38" s="11" t="s">
        <v>39</v>
      </c>
      <c r="B38" s="5">
        <v>60.0</v>
      </c>
      <c r="C38" s="5">
        <v>25.0</v>
      </c>
      <c r="D38" s="7">
        <f t="shared" si="1"/>
        <v>1500</v>
      </c>
    </row>
    <row r="39">
      <c r="A39" s="12" t="s">
        <v>40</v>
      </c>
      <c r="B39" s="8">
        <v>70.0</v>
      </c>
      <c r="C39" s="8">
        <v>20.0</v>
      </c>
      <c r="D39" s="9">
        <f t="shared" si="1"/>
        <v>1400</v>
      </c>
    </row>
    <row r="40">
      <c r="A40" s="11" t="s">
        <v>41</v>
      </c>
      <c r="B40" s="5">
        <v>70.0</v>
      </c>
      <c r="C40" s="5">
        <v>25.0</v>
      </c>
      <c r="D40" s="7">
        <f t="shared" si="1"/>
        <v>1750</v>
      </c>
    </row>
    <row r="41">
      <c r="A41" s="12" t="s">
        <v>42</v>
      </c>
      <c r="B41" s="8">
        <v>60.0</v>
      </c>
      <c r="C41" s="8">
        <v>30.0</v>
      </c>
      <c r="D41" s="9">
        <f t="shared" si="1"/>
        <v>1800</v>
      </c>
    </row>
    <row r="42">
      <c r="A42" s="13" t="s">
        <v>43</v>
      </c>
      <c r="B42" s="5">
        <v>20.0</v>
      </c>
      <c r="C42" s="6">
        <v>1215.0</v>
      </c>
      <c r="D42" s="7">
        <f t="shared" si="1"/>
        <v>24300</v>
      </c>
    </row>
    <row r="43">
      <c r="A43" s="12" t="s">
        <v>44</v>
      </c>
      <c r="B43" s="8">
        <v>300.0</v>
      </c>
      <c r="C43" s="8">
        <v>12.0</v>
      </c>
      <c r="D43" s="9">
        <f t="shared" si="1"/>
        <v>3600</v>
      </c>
    </row>
    <row r="44">
      <c r="A44" s="11" t="s">
        <v>45</v>
      </c>
      <c r="B44" s="5">
        <v>60.0</v>
      </c>
      <c r="C44" s="5">
        <v>45.0</v>
      </c>
      <c r="D44" s="7">
        <f t="shared" si="1"/>
        <v>2700</v>
      </c>
    </row>
    <row r="45">
      <c r="A45" s="12" t="s">
        <v>46</v>
      </c>
      <c r="B45" s="8">
        <v>70.0</v>
      </c>
      <c r="C45" s="8">
        <v>30.0</v>
      </c>
      <c r="D45" s="9">
        <f t="shared" si="1"/>
        <v>2100</v>
      </c>
    </row>
    <row r="46">
      <c r="A46" s="11" t="s">
        <v>47</v>
      </c>
      <c r="B46" s="5">
        <v>60.0</v>
      </c>
      <c r="C46" s="5">
        <v>39.0</v>
      </c>
      <c r="D46" s="7">
        <f t="shared" si="1"/>
        <v>2340</v>
      </c>
    </row>
    <row r="47">
      <c r="A47" s="14"/>
      <c r="B47" s="15"/>
      <c r="C47" s="15"/>
      <c r="D47" s="16">
        <f>SUM(Table2[Overall Cost])</f>
        <v>137120</v>
      </c>
    </row>
  </sheetData>
  <dataValidations>
    <dataValidation type="custom" allowBlank="1" showDropDown="1" sqref="B2:C4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